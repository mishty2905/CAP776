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shty sharma\Downloads\"/>
    </mc:Choice>
  </mc:AlternateContent>
  <xr:revisionPtr revIDLastSave="0" documentId="13_ncr:1_{1676BF6B-A407-43EF-A621-1F61F921D58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5" i="2" l="1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<sst xmlns="http://schemas.openxmlformats.org/spreadsheetml/2006/main" count="220" uniqueCount="108">
  <si>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</si>
  <si>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</si>
  <si>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</si>
  <si>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</si>
  <si>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</si>
  <si>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</si>
  <si>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</si>
  <si>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</si>
  <si>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</si>
  <si>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</si>
  <si>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</si>
  <si>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</si>
  <si>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</si>
  <si>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</si>
  <si>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</si>
  <si>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</si>
  <si>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</si>
  <si>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</si>
  <si>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</si>
  <si>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</si>
  <si>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</si>
  <si>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</si>
  <si>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</si>
  <si>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</si>
  <si>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</si>
  <si>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</si>
  <si>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</si>
  <si>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</si>
  <si>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</si>
  <si>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</si>
  <si>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</si>
  <si>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</si>
  <si>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</si>
  <si>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</si>
  <si>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</si>
  <si>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</si>
  <si>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</si>
  <si>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</si>
  <si>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</si>
  <si>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</si>
  <si>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</si>
  <si>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</si>
  <si>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</si>
  <si>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</si>
  <si>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</si>
  <si>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</si>
  <si>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</si>
  <si>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</si>
  <si>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</si>
  <si>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</si>
  <si>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</si>
  <si>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</si>
  <si>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low</t>
  </si>
  <si>
    <t xml:space="preserve">feeling little low </t>
  </si>
  <si>
    <t>good</t>
  </si>
  <si>
    <t>satisfied</t>
  </si>
  <si>
    <t>medium</t>
  </si>
  <si>
    <t>have to do homework</t>
  </si>
  <si>
    <t>unsatisfied</t>
  </si>
  <si>
    <t>hectic classes</t>
  </si>
  <si>
    <t>Mishty sharma</t>
  </si>
  <si>
    <t>MCA</t>
  </si>
  <si>
    <t>AUGUST</t>
  </si>
  <si>
    <t>Neutral</t>
  </si>
  <si>
    <t>Medium</t>
  </si>
  <si>
    <t>feeling good today</t>
  </si>
  <si>
    <t>Excellent</t>
  </si>
  <si>
    <t>neutral</t>
  </si>
  <si>
    <t xml:space="preserve">homework of python </t>
  </si>
  <si>
    <t>went for shopping</t>
  </si>
  <si>
    <t>diagnostictest</t>
  </si>
  <si>
    <t>Low</t>
  </si>
  <si>
    <t>jupyter download</t>
  </si>
  <si>
    <t>tired and sleepy</t>
  </si>
  <si>
    <t>High</t>
  </si>
  <si>
    <t>sql homework to be done</t>
  </si>
  <si>
    <t>missiing old friends</t>
  </si>
  <si>
    <t>Unsatisfied</t>
  </si>
  <si>
    <t>anxious</t>
  </si>
  <si>
    <t>Very Satisfied</t>
  </si>
  <si>
    <t>fever</t>
  </si>
  <si>
    <t>suffering from viral</t>
  </si>
  <si>
    <t>sandbox  homework</t>
  </si>
  <si>
    <t>c++ doubts</t>
  </si>
  <si>
    <t>analytical problem solving</t>
  </si>
  <si>
    <t>feeling good, ca's alotted</t>
  </si>
  <si>
    <t>communication ca</t>
  </si>
  <si>
    <t>ca preperation , went out with friends</t>
  </si>
  <si>
    <t>no class , took rest whole day</t>
  </si>
  <si>
    <t>database ca alotted</t>
  </si>
  <si>
    <t>networking ca alotted, pratice done</t>
  </si>
  <si>
    <t>went for a movie</t>
  </si>
  <si>
    <t>revised ca syllabus</t>
  </si>
  <si>
    <t>networking,database ca done</t>
  </si>
  <si>
    <t>classes got cancelled</t>
  </si>
  <si>
    <t>took tuitonn classes for 3 hours</t>
  </si>
  <si>
    <t>loviraj sir was on leave</t>
  </si>
  <si>
    <t>minor project was allotted</t>
  </si>
  <si>
    <t>practice on jupyter and having insomia</t>
  </si>
  <si>
    <t>demo test of  analytical skills</t>
  </si>
  <si>
    <t>ca of analytical skills was done</t>
  </si>
  <si>
    <t>took rest as it was Sunday</t>
  </si>
  <si>
    <t>went to uni mall with friends</t>
  </si>
  <si>
    <t>started minor project of cap776</t>
  </si>
  <si>
    <t>completed excel sheet of cap776</t>
  </si>
  <si>
    <t>hitbulls practice test alloted</t>
  </si>
  <si>
    <t>enjoyed Sunday with family</t>
  </si>
  <si>
    <t>no classes till 10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</si>
</sst>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" fontId="0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5"/>
  <sheetViews>
    <sheetView showGridLines="0" tabSelected="1" zoomScale="74" zoomScaleNormal="100" workbookViewId="0">
      <pane xSplit="1" ySplit="5" topLeftCell="B38" activePane="bottomRight" state="frozen"/>
      <selection pane="topRight" activeCell="B1" sqref="B1"/>
      <selection pane="bottomLeft" activeCell="A6" sqref="A6"/>
      <selection pane="bottomRight" activeCell="B48" sqref="B48"/>
    </sheetView>
  </sheetViews>
  <sheetFormatPr defaultColWidth="8.6640625" defaultRowHeight="14.4" x14ac:dyDescent="0.3"/>
  <cols>
    <col min="1" max="1" width="65.21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60</v>
      </c>
      <c r="C2" s="20"/>
      <c r="D2" s="20"/>
      <c r="E2" s="6" t="s">
        <v>31</v>
      </c>
      <c r="F2" s="20">
        <v>12620764</v>
      </c>
      <c r="G2" s="20"/>
    </row>
    <row r="3" spans="1:14" ht="19.5" customHeight="1" x14ac:dyDescent="0.3">
      <c r="A3" s="6" t="s">
        <v>32</v>
      </c>
      <c r="B3" s="20" t="s">
        <v>61</v>
      </c>
      <c r="C3" s="20"/>
      <c r="D3" s="20"/>
      <c r="E3" s="6" t="s">
        <v>33</v>
      </c>
      <c r="F3" s="20" t="s">
        <v>62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480</v>
      </c>
      <c r="C6" s="9">
        <v>15</v>
      </c>
      <c r="D6" s="9">
        <v>100</v>
      </c>
      <c r="E6" s="9">
        <v>90</v>
      </c>
      <c r="F6" s="9">
        <v>300</v>
      </c>
      <c r="G6" s="9">
        <v>6</v>
      </c>
      <c r="H6" s="9">
        <v>40</v>
      </c>
      <c r="I6" s="10">
        <v>1025</v>
      </c>
      <c r="J6" s="10">
        <v>415</v>
      </c>
      <c r="K6" s="11" t="s">
        <v>49</v>
      </c>
      <c r="L6" s="11" t="s">
        <v>50</v>
      </c>
      <c r="M6" s="11" t="s">
        <v>52</v>
      </c>
      <c r="N6" s="12" t="s">
        <v>53</v>
      </c>
    </row>
    <row r="7" spans="1:14" x14ac:dyDescent="0.3">
      <c r="A7" s="8">
        <v>46252</v>
      </c>
      <c r="B7" s="14">
        <v>400</v>
      </c>
      <c r="C7" s="14">
        <v>20</v>
      </c>
      <c r="D7" s="14">
        <v>120</v>
      </c>
      <c r="E7" s="14">
        <v>90</v>
      </c>
      <c r="F7" s="14">
        <v>200</v>
      </c>
      <c r="G7" s="14">
        <v>4</v>
      </c>
      <c r="H7" s="14">
        <v>20</v>
      </c>
      <c r="I7" s="15">
        <f>IF(SUM(B7:F7,H7)=0,"",SUM(B7:F7,H7))</f>
        <v>850</v>
      </c>
      <c r="J7" s="15">
        <f t="shared" ref="J7:J63" si="0">IF(I7="","",1440-I7)</f>
        <v>590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x14ac:dyDescent="0.3">
      <c r="A8" s="8">
        <v>46253</v>
      </c>
      <c r="B8" s="14">
        <v>480</v>
      </c>
      <c r="C8" s="14">
        <v>10</v>
      </c>
      <c r="D8" s="14">
        <v>100</v>
      </c>
      <c r="E8" s="14">
        <v>90</v>
      </c>
      <c r="F8" s="14">
        <v>400</v>
      </c>
      <c r="G8" s="14">
        <v>8</v>
      </c>
      <c r="H8" s="14">
        <v>20</v>
      </c>
      <c r="I8" s="15">
        <f t="shared" ref="I8:I63" si="1">IF(SUM(B8:F8,H8)=0,"",SUM(B8:F8,H8))</f>
        <v>1100</v>
      </c>
      <c r="J8" s="15">
        <f t="shared" si="0"/>
        <v>340</v>
      </c>
      <c r="K8" s="16" t="s">
        <v>52</v>
      </c>
      <c r="L8" s="16" t="s">
        <v>58</v>
      </c>
      <c r="M8" s="16" t="s">
        <v>52</v>
      </c>
      <c r="N8" s="17" t="s">
        <v>59</v>
      </c>
    </row>
    <row r="9" spans="1:14" x14ac:dyDescent="0.3">
      <c r="A9" s="13">
        <v>46254</v>
      </c>
      <c r="B9" s="14">
        <v>360</v>
      </c>
      <c r="C9" s="14">
        <v>20</v>
      </c>
      <c r="D9" s="14">
        <v>100</v>
      </c>
      <c r="E9" s="14">
        <v>60</v>
      </c>
      <c r="F9" s="14">
        <v>400</v>
      </c>
      <c r="G9" s="14">
        <v>8</v>
      </c>
      <c r="H9" s="14">
        <v>20</v>
      </c>
      <c r="I9" s="15">
        <f t="shared" si="1"/>
        <v>960</v>
      </c>
      <c r="J9" s="15">
        <f t="shared" si="0"/>
        <v>480</v>
      </c>
      <c r="K9" s="16" t="s">
        <v>56</v>
      </c>
      <c r="L9" s="16" t="s">
        <v>63</v>
      </c>
      <c r="M9" s="16" t="s">
        <v>64</v>
      </c>
      <c r="N9" s="17" t="s">
        <v>65</v>
      </c>
    </row>
    <row r="10" spans="1:14" x14ac:dyDescent="0.3">
      <c r="A10" s="13">
        <v>46255</v>
      </c>
      <c r="B10" s="14">
        <v>400</v>
      </c>
      <c r="C10" s="14">
        <v>30</v>
      </c>
      <c r="D10" s="14">
        <v>100</v>
      </c>
      <c r="E10" s="14">
        <v>50</v>
      </c>
      <c r="F10" s="14">
        <v>300</v>
      </c>
      <c r="G10" s="14">
        <v>6</v>
      </c>
      <c r="H10" s="14">
        <v>30</v>
      </c>
      <c r="I10" s="15">
        <f t="shared" si="1"/>
        <v>910</v>
      </c>
      <c r="J10" s="15">
        <f t="shared" si="0"/>
        <v>530</v>
      </c>
      <c r="K10" s="16" t="s">
        <v>66</v>
      </c>
      <c r="L10" s="16" t="s">
        <v>50</v>
      </c>
      <c r="M10" s="16" t="s">
        <v>64</v>
      </c>
      <c r="N10" s="17" t="s">
        <v>67</v>
      </c>
    </row>
    <row r="11" spans="1:14" x14ac:dyDescent="0.3">
      <c r="A11" s="13">
        <v>46256</v>
      </c>
      <c r="B11" s="14">
        <v>480</v>
      </c>
      <c r="C11" s="14">
        <v>22</v>
      </c>
      <c r="D11" s="14">
        <v>100</v>
      </c>
      <c r="E11" s="14">
        <v>60</v>
      </c>
      <c r="F11" s="14">
        <v>0</v>
      </c>
      <c r="G11" s="14">
        <v>0</v>
      </c>
      <c r="H11" s="14">
        <v>10</v>
      </c>
      <c r="I11" s="15">
        <f t="shared" si="1"/>
        <v>672</v>
      </c>
      <c r="J11" s="15">
        <f t="shared" si="0"/>
        <v>768</v>
      </c>
      <c r="K11" s="16" t="s">
        <v>49</v>
      </c>
      <c r="L11" s="16" t="s">
        <v>50</v>
      </c>
      <c r="M11" s="16" t="s">
        <v>64</v>
      </c>
      <c r="N11" s="17" t="s">
        <v>68</v>
      </c>
    </row>
    <row r="12" spans="1:14" x14ac:dyDescent="0.3">
      <c r="A12" s="13">
        <v>46257</v>
      </c>
      <c r="B12" s="14">
        <v>300</v>
      </c>
      <c r="C12" s="14">
        <v>10</v>
      </c>
      <c r="D12" s="14">
        <v>90</v>
      </c>
      <c r="E12" s="14">
        <v>70</v>
      </c>
      <c r="F12" s="14">
        <v>0</v>
      </c>
      <c r="G12" s="14">
        <v>0</v>
      </c>
      <c r="H12" s="14">
        <v>20</v>
      </c>
      <c r="I12" s="15">
        <f t="shared" si="1"/>
        <v>490</v>
      </c>
      <c r="J12" s="15">
        <f t="shared" si="0"/>
        <v>950</v>
      </c>
      <c r="K12" s="16" t="s">
        <v>49</v>
      </c>
      <c r="L12" s="16" t="s">
        <v>50</v>
      </c>
      <c r="M12" s="16" t="s">
        <v>64</v>
      </c>
      <c r="N12" s="17" t="s">
        <v>69</v>
      </c>
    </row>
    <row r="13" spans="1:14" x14ac:dyDescent="0.3">
      <c r="A13" s="13">
        <v>46258</v>
      </c>
      <c r="B13" s="14">
        <v>200</v>
      </c>
      <c r="C13" s="14">
        <v>15</v>
      </c>
      <c r="D13" s="14">
        <v>60</v>
      </c>
      <c r="E13" s="14">
        <v>90</v>
      </c>
      <c r="F13" s="14">
        <v>150</v>
      </c>
      <c r="G13" s="14">
        <v>3</v>
      </c>
      <c r="H13" s="14">
        <v>36</v>
      </c>
      <c r="I13" s="15">
        <f t="shared" si="1"/>
        <v>551</v>
      </c>
      <c r="J13" s="15">
        <f t="shared" si="0"/>
        <v>889</v>
      </c>
      <c r="K13" s="16" t="s">
        <v>49</v>
      </c>
      <c r="L13" s="16" t="s">
        <v>50</v>
      </c>
      <c r="M13" s="16" t="s">
        <v>64</v>
      </c>
      <c r="N13" s="17" t="s">
        <v>70</v>
      </c>
    </row>
    <row r="14" spans="1:14" x14ac:dyDescent="0.3">
      <c r="A14" s="13">
        <v>46259</v>
      </c>
      <c r="B14" s="14">
        <v>400</v>
      </c>
      <c r="C14" s="14">
        <v>25</v>
      </c>
      <c r="D14" s="14">
        <v>55</v>
      </c>
      <c r="E14" s="14">
        <v>30</v>
      </c>
      <c r="F14" s="14">
        <v>300</v>
      </c>
      <c r="G14" s="14">
        <v>6</v>
      </c>
      <c r="H14" s="14">
        <v>10</v>
      </c>
      <c r="I14" s="15">
        <f t="shared" si="1"/>
        <v>820</v>
      </c>
      <c r="J14" s="15">
        <f t="shared" si="0"/>
        <v>620</v>
      </c>
      <c r="K14" s="16" t="s">
        <v>49</v>
      </c>
      <c r="L14" s="16" t="s">
        <v>50</v>
      </c>
      <c r="M14" s="16" t="s">
        <v>71</v>
      </c>
      <c r="N14" s="17" t="s">
        <v>72</v>
      </c>
    </row>
    <row r="15" spans="1:14" x14ac:dyDescent="0.3">
      <c r="A15" s="13">
        <v>46260</v>
      </c>
      <c r="B15" s="14">
        <v>360</v>
      </c>
      <c r="C15" s="14">
        <v>20</v>
      </c>
      <c r="D15" s="14">
        <v>30</v>
      </c>
      <c r="E15" s="14">
        <v>90</v>
      </c>
      <c r="F15" s="14">
        <v>200</v>
      </c>
      <c r="G15" s="14">
        <v>4</v>
      </c>
      <c r="H15" s="14">
        <v>20</v>
      </c>
      <c r="I15" s="15">
        <f t="shared" si="1"/>
        <v>720</v>
      </c>
      <c r="J15" s="15">
        <f t="shared" si="0"/>
        <v>720</v>
      </c>
      <c r="K15" s="16" t="s">
        <v>49</v>
      </c>
      <c r="L15" s="16" t="s">
        <v>63</v>
      </c>
      <c r="M15" s="16" t="s">
        <v>64</v>
      </c>
      <c r="N15" s="17" t="s">
        <v>73</v>
      </c>
    </row>
    <row r="16" spans="1:14" x14ac:dyDescent="0.3">
      <c r="A16" s="13">
        <v>46261</v>
      </c>
      <c r="B16" s="14">
        <v>400</v>
      </c>
      <c r="C16" s="14">
        <v>10</v>
      </c>
      <c r="D16" s="14">
        <v>40</v>
      </c>
      <c r="E16" s="14">
        <v>90</v>
      </c>
      <c r="F16" s="14">
        <v>250</v>
      </c>
      <c r="G16" s="14">
        <v>5</v>
      </c>
      <c r="H16" s="14">
        <v>17</v>
      </c>
      <c r="I16" s="15">
        <f t="shared" si="1"/>
        <v>807</v>
      </c>
      <c r="J16" s="15">
        <f t="shared" si="0"/>
        <v>633</v>
      </c>
      <c r="K16" s="16" t="s">
        <v>49</v>
      </c>
      <c r="L16" s="16" t="s">
        <v>50</v>
      </c>
      <c r="M16" s="16" t="s">
        <v>74</v>
      </c>
      <c r="N16" s="17" t="s">
        <v>75</v>
      </c>
    </row>
    <row r="17" spans="1:14" x14ac:dyDescent="0.3">
      <c r="A17" s="13">
        <v>46262</v>
      </c>
      <c r="B17" s="14">
        <v>500</v>
      </c>
      <c r="C17" s="14">
        <v>20</v>
      </c>
      <c r="D17" s="14">
        <v>40</v>
      </c>
      <c r="E17" s="14">
        <v>70</v>
      </c>
      <c r="F17" s="14">
        <v>300</v>
      </c>
      <c r="G17" s="14">
        <v>6</v>
      </c>
      <c r="H17" s="14">
        <v>10</v>
      </c>
      <c r="I17" s="15">
        <f t="shared" si="1"/>
        <v>940</v>
      </c>
      <c r="J17" s="15">
        <f t="shared" si="0"/>
        <v>500</v>
      </c>
      <c r="K17" s="16" t="s">
        <v>71</v>
      </c>
      <c r="L17" s="16" t="s">
        <v>50</v>
      </c>
      <c r="M17" s="16" t="s">
        <v>64</v>
      </c>
      <c r="N17" s="17" t="s">
        <v>76</v>
      </c>
    </row>
    <row r="18" spans="1:14" x14ac:dyDescent="0.3">
      <c r="A18" s="13">
        <v>46263</v>
      </c>
      <c r="B18" s="14">
        <v>600</v>
      </c>
      <c r="C18" s="14">
        <v>30</v>
      </c>
      <c r="D18" s="14">
        <v>35</v>
      </c>
      <c r="E18" s="14">
        <v>60</v>
      </c>
      <c r="F18" s="14">
        <v>0</v>
      </c>
      <c r="G18" s="14">
        <v>0</v>
      </c>
      <c r="H18" s="14">
        <v>20</v>
      </c>
      <c r="I18" s="15">
        <f t="shared" si="1"/>
        <v>745</v>
      </c>
      <c r="J18" s="15">
        <f t="shared" si="0"/>
        <v>695</v>
      </c>
      <c r="K18" s="16" t="s">
        <v>49</v>
      </c>
      <c r="L18" s="16" t="s">
        <v>77</v>
      </c>
      <c r="M18" s="16" t="s">
        <v>71</v>
      </c>
      <c r="N18" s="17" t="s">
        <v>78</v>
      </c>
    </row>
    <row r="19" spans="1:14" x14ac:dyDescent="0.3">
      <c r="A19" s="13">
        <v>46264</v>
      </c>
      <c r="B19" s="14">
        <v>650</v>
      </c>
      <c r="C19" s="14">
        <v>22</v>
      </c>
      <c r="D19" s="14">
        <v>60</v>
      </c>
      <c r="E19" s="14">
        <v>45</v>
      </c>
      <c r="F19" s="14">
        <v>0</v>
      </c>
      <c r="G19" s="14">
        <v>0</v>
      </c>
      <c r="H19" s="14">
        <v>30</v>
      </c>
      <c r="I19" s="15">
        <f t="shared" si="1"/>
        <v>807</v>
      </c>
      <c r="J19" s="15">
        <f t="shared" si="0"/>
        <v>633</v>
      </c>
      <c r="K19" s="16" t="s">
        <v>49</v>
      </c>
      <c r="L19" s="16" t="s">
        <v>50</v>
      </c>
      <c r="M19" s="16" t="s">
        <v>71</v>
      </c>
      <c r="N19" s="17" t="s">
        <v>80</v>
      </c>
    </row>
    <row r="20" spans="1:14" x14ac:dyDescent="0.3">
      <c r="A20" s="13">
        <v>46265</v>
      </c>
      <c r="B20" s="14">
        <v>360</v>
      </c>
      <c r="C20" s="14">
        <v>30</v>
      </c>
      <c r="D20" s="14">
        <v>40</v>
      </c>
      <c r="E20" s="14">
        <v>80</v>
      </c>
      <c r="F20" s="14">
        <v>200</v>
      </c>
      <c r="G20" s="14">
        <v>4</v>
      </c>
      <c r="H20" s="14">
        <v>25</v>
      </c>
      <c r="I20" s="15">
        <f t="shared" si="1"/>
        <v>735</v>
      </c>
      <c r="J20" s="15">
        <f t="shared" si="0"/>
        <v>705</v>
      </c>
      <c r="K20" s="16" t="s">
        <v>49</v>
      </c>
      <c r="L20" s="16" t="s">
        <v>63</v>
      </c>
      <c r="M20" s="16" t="s">
        <v>74</v>
      </c>
      <c r="N20" s="17" t="s">
        <v>81</v>
      </c>
    </row>
    <row r="21" spans="1:14" x14ac:dyDescent="0.3">
      <c r="A21" s="13">
        <v>46266</v>
      </c>
      <c r="B21" s="14">
        <v>300</v>
      </c>
      <c r="C21" s="14">
        <v>22</v>
      </c>
      <c r="D21" s="14">
        <v>40</v>
      </c>
      <c r="E21" s="14">
        <v>90</v>
      </c>
      <c r="F21" s="14">
        <v>150</v>
      </c>
      <c r="G21" s="14">
        <v>3</v>
      </c>
      <c r="H21" s="14">
        <v>10</v>
      </c>
      <c r="I21" s="15">
        <f t="shared" si="1"/>
        <v>612</v>
      </c>
      <c r="J21" s="15">
        <f t="shared" si="0"/>
        <v>828</v>
      </c>
      <c r="K21" s="16" t="s">
        <v>66</v>
      </c>
      <c r="L21" s="16" t="s">
        <v>50</v>
      </c>
      <c r="M21" s="16" t="s">
        <v>64</v>
      </c>
      <c r="N21" s="17" t="s">
        <v>82</v>
      </c>
    </row>
    <row r="22" spans="1:14" x14ac:dyDescent="0.3">
      <c r="A22" s="13">
        <v>46267</v>
      </c>
      <c r="B22" s="14">
        <v>250</v>
      </c>
      <c r="C22" s="14">
        <v>45</v>
      </c>
      <c r="D22" s="14">
        <v>30</v>
      </c>
      <c r="E22" s="14">
        <v>70</v>
      </c>
      <c r="F22" s="14">
        <v>250</v>
      </c>
      <c r="G22" s="14">
        <v>5</v>
      </c>
      <c r="H22" s="14">
        <v>12</v>
      </c>
      <c r="I22" s="15">
        <f t="shared" si="1"/>
        <v>657</v>
      </c>
      <c r="J22" s="15">
        <f t="shared" si="0"/>
        <v>783</v>
      </c>
      <c r="K22" s="16" t="s">
        <v>66</v>
      </c>
      <c r="L22" s="16" t="s">
        <v>77</v>
      </c>
      <c r="M22" s="16" t="s">
        <v>71</v>
      </c>
      <c r="N22" s="17" t="s">
        <v>83</v>
      </c>
    </row>
    <row r="23" spans="1:14" x14ac:dyDescent="0.3">
      <c r="A23" s="13">
        <v>46268</v>
      </c>
      <c r="B23" s="14">
        <v>200</v>
      </c>
      <c r="C23" s="14">
        <v>25</v>
      </c>
      <c r="D23" s="14">
        <v>30</v>
      </c>
      <c r="E23" s="14">
        <v>65</v>
      </c>
      <c r="F23" s="14">
        <v>350</v>
      </c>
      <c r="G23" s="14">
        <v>7</v>
      </c>
      <c r="H23" s="14">
        <v>22</v>
      </c>
      <c r="I23" s="15">
        <f t="shared" si="1"/>
        <v>692</v>
      </c>
      <c r="J23" s="15">
        <f t="shared" si="0"/>
        <v>748</v>
      </c>
      <c r="K23" s="16" t="s">
        <v>49</v>
      </c>
      <c r="L23" s="16" t="s">
        <v>50</v>
      </c>
      <c r="M23" s="16" t="s">
        <v>71</v>
      </c>
      <c r="N23" s="17" t="s">
        <v>84</v>
      </c>
    </row>
    <row r="24" spans="1:14" x14ac:dyDescent="0.3">
      <c r="A24" s="13">
        <v>46269</v>
      </c>
      <c r="B24" s="14">
        <v>300</v>
      </c>
      <c r="C24" s="14">
        <v>35</v>
      </c>
      <c r="D24" s="14">
        <v>50</v>
      </c>
      <c r="E24" s="14">
        <v>70</v>
      </c>
      <c r="F24" s="14">
        <v>400</v>
      </c>
      <c r="G24" s="14">
        <v>8</v>
      </c>
      <c r="H24" s="14">
        <v>0</v>
      </c>
      <c r="I24" s="15">
        <f t="shared" si="1"/>
        <v>855</v>
      </c>
      <c r="J24" s="15">
        <f t="shared" si="0"/>
        <v>585</v>
      </c>
      <c r="K24" s="16" t="s">
        <v>66</v>
      </c>
      <c r="L24" s="16" t="s">
        <v>50</v>
      </c>
      <c r="M24" s="16" t="s">
        <v>74</v>
      </c>
      <c r="N24" s="17" t="s">
        <v>85</v>
      </c>
    </row>
    <row r="25" spans="1:14" ht="28.8" x14ac:dyDescent="0.3">
      <c r="A25" s="13">
        <v>46270</v>
      </c>
      <c r="B25" s="14">
        <v>600</v>
      </c>
      <c r="C25" s="14">
        <v>55</v>
      </c>
      <c r="D25" s="14">
        <v>40</v>
      </c>
      <c r="E25" s="14">
        <v>30</v>
      </c>
      <c r="F25" s="14">
        <v>0</v>
      </c>
      <c r="G25" s="14">
        <v>0</v>
      </c>
      <c r="H25" s="14">
        <v>40</v>
      </c>
      <c r="I25" s="15">
        <f t="shared" si="1"/>
        <v>765</v>
      </c>
      <c r="J25" s="15">
        <f t="shared" si="0"/>
        <v>675</v>
      </c>
      <c r="K25" s="16" t="s">
        <v>63</v>
      </c>
      <c r="L25" s="16" t="s">
        <v>79</v>
      </c>
      <c r="M25" s="16" t="s">
        <v>71</v>
      </c>
      <c r="N25" s="17" t="s">
        <v>87</v>
      </c>
    </row>
    <row r="26" spans="1:14" x14ac:dyDescent="0.3">
      <c r="A26" s="13">
        <v>46271</v>
      </c>
      <c r="B26" s="14">
        <v>600</v>
      </c>
      <c r="C26" s="14">
        <v>60</v>
      </c>
      <c r="D26" s="14">
        <v>30</v>
      </c>
      <c r="E26" s="14">
        <v>85</v>
      </c>
      <c r="F26" s="14">
        <v>0</v>
      </c>
      <c r="G26" s="14">
        <v>0</v>
      </c>
      <c r="H26" s="14">
        <v>32</v>
      </c>
      <c r="I26" s="15">
        <f t="shared" si="1"/>
        <v>807</v>
      </c>
      <c r="J26" s="15">
        <f t="shared" si="0"/>
        <v>633</v>
      </c>
      <c r="K26" s="16" t="s">
        <v>66</v>
      </c>
      <c r="L26" s="16" t="s">
        <v>63</v>
      </c>
      <c r="M26" s="16" t="s">
        <v>64</v>
      </c>
      <c r="N26" s="17" t="s">
        <v>88</v>
      </c>
    </row>
    <row r="27" spans="1:14" x14ac:dyDescent="0.3">
      <c r="A27" s="13">
        <v>46272</v>
      </c>
      <c r="B27" s="14">
        <v>500</v>
      </c>
      <c r="C27" s="14">
        <v>20</v>
      </c>
      <c r="D27" s="14">
        <v>20</v>
      </c>
      <c r="E27" s="14">
        <v>90</v>
      </c>
      <c r="F27" s="14">
        <v>200</v>
      </c>
      <c r="G27" s="14">
        <v>4</v>
      </c>
      <c r="H27" s="14">
        <v>20</v>
      </c>
      <c r="I27" s="15">
        <f t="shared" si="1"/>
        <v>850</v>
      </c>
      <c r="J27" s="15">
        <f t="shared" si="0"/>
        <v>590</v>
      </c>
      <c r="K27" s="16" t="s">
        <v>49</v>
      </c>
      <c r="L27" s="16" t="s">
        <v>50</v>
      </c>
      <c r="M27" s="16" t="s">
        <v>71</v>
      </c>
      <c r="N27" s="17" t="s">
        <v>89</v>
      </c>
    </row>
    <row r="28" spans="1:14" ht="28.8" x14ac:dyDescent="0.3">
      <c r="A28" s="13">
        <v>46273</v>
      </c>
      <c r="B28" s="14">
        <v>360</v>
      </c>
      <c r="C28" s="14">
        <v>20</v>
      </c>
      <c r="D28" s="14">
        <v>150</v>
      </c>
      <c r="E28" s="14">
        <v>10</v>
      </c>
      <c r="F28" s="14">
        <v>150</v>
      </c>
      <c r="G28" s="14">
        <v>3</v>
      </c>
      <c r="H28" s="14">
        <v>20</v>
      </c>
      <c r="I28" s="15">
        <f t="shared" si="1"/>
        <v>710</v>
      </c>
      <c r="J28" s="15">
        <f t="shared" si="0"/>
        <v>730</v>
      </c>
      <c r="K28" s="16" t="s">
        <v>49</v>
      </c>
      <c r="L28" s="16" t="s">
        <v>50</v>
      </c>
      <c r="M28" s="16" t="s">
        <v>64</v>
      </c>
      <c r="N28" s="17" t="s">
        <v>90</v>
      </c>
    </row>
    <row r="29" spans="1:14" x14ac:dyDescent="0.3">
      <c r="A29" s="13">
        <v>46274</v>
      </c>
      <c r="B29" s="14">
        <v>400</v>
      </c>
      <c r="C29" s="14">
        <v>30</v>
      </c>
      <c r="D29" s="14">
        <v>350</v>
      </c>
      <c r="E29" s="14">
        <v>40</v>
      </c>
      <c r="F29" s="14">
        <v>350</v>
      </c>
      <c r="G29" s="14">
        <v>7</v>
      </c>
      <c r="H29" s="14">
        <v>10</v>
      </c>
      <c r="I29" s="15">
        <f t="shared" si="1"/>
        <v>1180</v>
      </c>
      <c r="J29" s="15">
        <f t="shared" si="0"/>
        <v>260</v>
      </c>
      <c r="K29" s="16" t="s">
        <v>63</v>
      </c>
      <c r="L29" s="16" t="s">
        <v>63</v>
      </c>
      <c r="M29" s="16" t="s">
        <v>71</v>
      </c>
      <c r="N29" s="17" t="s">
        <v>86</v>
      </c>
    </row>
    <row r="30" spans="1:14" x14ac:dyDescent="0.3">
      <c r="A30" s="13">
        <v>46275</v>
      </c>
      <c r="B30" s="14">
        <v>540</v>
      </c>
      <c r="C30" s="14">
        <v>40</v>
      </c>
      <c r="D30" s="14">
        <v>200</v>
      </c>
      <c r="E30" s="14">
        <v>20</v>
      </c>
      <c r="F30" s="14">
        <v>200</v>
      </c>
      <c r="G30" s="14">
        <v>4</v>
      </c>
      <c r="H30" s="14">
        <v>15</v>
      </c>
      <c r="I30" s="15">
        <f t="shared" ref="I30:I33" si="2">IF(SUM(B30:F30,H30)=0,"",SUM(B30:F30,H30))</f>
        <v>1015</v>
      </c>
      <c r="J30" s="15">
        <f t="shared" si="0"/>
        <v>425</v>
      </c>
      <c r="K30" s="16" t="s">
        <v>71</v>
      </c>
      <c r="L30" s="16" t="s">
        <v>63</v>
      </c>
      <c r="M30" s="16" t="s">
        <v>64</v>
      </c>
      <c r="N30" s="17" t="s">
        <v>91</v>
      </c>
    </row>
    <row r="31" spans="1:14" x14ac:dyDescent="0.3">
      <c r="A31" s="13">
        <v>46276</v>
      </c>
      <c r="B31" s="14">
        <v>500</v>
      </c>
      <c r="C31" s="14">
        <v>10</v>
      </c>
      <c r="D31" s="14">
        <v>0</v>
      </c>
      <c r="E31" s="14">
        <v>0</v>
      </c>
      <c r="F31" s="14">
        <v>0</v>
      </c>
      <c r="G31" s="14">
        <v>0</v>
      </c>
      <c r="H31" s="14">
        <v>25</v>
      </c>
      <c r="I31" s="15">
        <f t="shared" si="2"/>
        <v>535</v>
      </c>
      <c r="J31" s="15">
        <f t="shared" si="0"/>
        <v>905</v>
      </c>
      <c r="K31" s="16" t="s">
        <v>49</v>
      </c>
      <c r="L31" s="16" t="s">
        <v>77</v>
      </c>
      <c r="M31" s="16" t="s">
        <v>71</v>
      </c>
      <c r="N31" s="17" t="s">
        <v>92</v>
      </c>
    </row>
    <row r="32" spans="1:14" x14ac:dyDescent="0.3">
      <c r="A32" s="13">
        <v>46277</v>
      </c>
      <c r="B32" s="14">
        <v>600</v>
      </c>
      <c r="C32" s="14">
        <v>25</v>
      </c>
      <c r="D32" s="14">
        <v>300</v>
      </c>
      <c r="E32" s="14">
        <v>25</v>
      </c>
      <c r="F32" s="14">
        <v>300</v>
      </c>
      <c r="G32" s="14">
        <v>6</v>
      </c>
      <c r="H32" s="14">
        <v>40</v>
      </c>
      <c r="I32" s="15">
        <f t="shared" si="2"/>
        <v>1290</v>
      </c>
      <c r="J32" s="15">
        <f t="shared" si="0"/>
        <v>150</v>
      </c>
      <c r="K32" s="16" t="s">
        <v>71</v>
      </c>
      <c r="L32" s="16" t="s">
        <v>63</v>
      </c>
      <c r="M32" s="16" t="s">
        <v>64</v>
      </c>
      <c r="N32" s="17" t="s">
        <v>93</v>
      </c>
    </row>
    <row r="33" spans="1:14" x14ac:dyDescent="0.3">
      <c r="A33" s="13">
        <v>46278</v>
      </c>
      <c r="B33" s="14">
        <v>400</v>
      </c>
      <c r="C33" s="14">
        <v>30</v>
      </c>
      <c r="D33" s="14">
        <v>250</v>
      </c>
      <c r="E33" s="14">
        <v>20</v>
      </c>
      <c r="F33" s="14">
        <v>150</v>
      </c>
      <c r="G33" s="14">
        <v>3</v>
      </c>
      <c r="H33" s="14">
        <v>30</v>
      </c>
      <c r="I33" s="15">
        <f t="shared" si="2"/>
        <v>880</v>
      </c>
      <c r="J33" s="15">
        <f t="shared" si="0"/>
        <v>560</v>
      </c>
      <c r="K33" s="16" t="s">
        <v>63</v>
      </c>
      <c r="L33" s="16" t="s">
        <v>63</v>
      </c>
      <c r="M33" s="16" t="s">
        <v>64</v>
      </c>
      <c r="N33" s="17" t="s">
        <v>95</v>
      </c>
    </row>
    <row r="34" spans="1:14" x14ac:dyDescent="0.3">
      <c r="A34" s="13">
        <v>46279</v>
      </c>
      <c r="B34" s="14">
        <v>420</v>
      </c>
      <c r="C34" s="14">
        <v>40</v>
      </c>
      <c r="D34" s="14">
        <v>180</v>
      </c>
      <c r="E34" s="14">
        <v>20</v>
      </c>
      <c r="F34" s="14">
        <v>150</v>
      </c>
      <c r="G34" s="14">
        <v>3</v>
      </c>
      <c r="H34" s="14">
        <v>70</v>
      </c>
      <c r="I34" s="15">
        <f t="shared" si="1"/>
        <v>880</v>
      </c>
      <c r="J34" s="15">
        <f t="shared" si="0"/>
        <v>560</v>
      </c>
      <c r="K34" s="16" t="s">
        <v>63</v>
      </c>
      <c r="L34" s="16" t="s">
        <v>50</v>
      </c>
      <c r="M34" s="16" t="s">
        <v>71</v>
      </c>
      <c r="N34" s="17" t="s">
        <v>94</v>
      </c>
    </row>
    <row r="35" spans="1:14" x14ac:dyDescent="0.3">
      <c r="A35" s="13">
        <v>46280</v>
      </c>
      <c r="B35" s="14">
        <v>600</v>
      </c>
      <c r="C35" s="14">
        <v>40</v>
      </c>
      <c r="D35" s="14">
        <v>200</v>
      </c>
      <c r="E35" s="14">
        <v>60</v>
      </c>
      <c r="F35" s="14">
        <v>350</v>
      </c>
      <c r="G35" s="14">
        <v>7</v>
      </c>
      <c r="H35" s="14">
        <v>80</v>
      </c>
      <c r="I35" s="15">
        <f t="shared" si="1"/>
        <v>1330</v>
      </c>
      <c r="J35" s="15">
        <f t="shared" si="0"/>
        <v>110</v>
      </c>
      <c r="K35" s="16" t="s">
        <v>49</v>
      </c>
      <c r="L35" s="16" t="s">
        <v>50</v>
      </c>
      <c r="M35" s="16" t="s">
        <v>64</v>
      </c>
      <c r="N35" s="17" t="s">
        <v>96</v>
      </c>
    </row>
    <row r="36" spans="1:14" x14ac:dyDescent="0.3">
      <c r="A36" s="13">
        <v>46281</v>
      </c>
      <c r="B36" s="14">
        <v>650</v>
      </c>
      <c r="C36" s="14">
        <v>60</v>
      </c>
      <c r="D36" s="14">
        <v>200</v>
      </c>
      <c r="E36" s="14">
        <v>30</v>
      </c>
      <c r="F36" s="14">
        <v>200</v>
      </c>
      <c r="G36" s="14">
        <v>4</v>
      </c>
      <c r="H36" s="14">
        <v>70</v>
      </c>
      <c r="I36" s="15">
        <f t="shared" si="1"/>
        <v>1210</v>
      </c>
      <c r="J36" s="15">
        <f t="shared" si="0"/>
        <v>230</v>
      </c>
      <c r="K36" s="16" t="s">
        <v>49</v>
      </c>
      <c r="L36" s="16" t="s">
        <v>50</v>
      </c>
      <c r="M36" s="16" t="s">
        <v>64</v>
      </c>
      <c r="N36" s="17" t="s">
        <v>97</v>
      </c>
    </row>
    <row r="37" spans="1:14" ht="28.8" x14ac:dyDescent="0.3">
      <c r="A37" s="13">
        <v>46282</v>
      </c>
      <c r="B37" s="14">
        <v>600</v>
      </c>
      <c r="C37" s="14">
        <v>45</v>
      </c>
      <c r="D37" s="14">
        <v>100</v>
      </c>
      <c r="E37" s="14">
        <v>45</v>
      </c>
      <c r="F37" s="14">
        <v>300</v>
      </c>
      <c r="G37" s="14">
        <v>6</v>
      </c>
      <c r="H37" s="14">
        <v>50</v>
      </c>
      <c r="I37" s="15">
        <f t="shared" si="1"/>
        <v>1140</v>
      </c>
      <c r="J37" s="15">
        <f t="shared" si="0"/>
        <v>300</v>
      </c>
      <c r="K37" s="16" t="s">
        <v>49</v>
      </c>
      <c r="L37" s="16" t="s">
        <v>63</v>
      </c>
      <c r="M37" s="16" t="s">
        <v>71</v>
      </c>
      <c r="N37" s="17" t="s">
        <v>98</v>
      </c>
    </row>
    <row r="38" spans="1:14" x14ac:dyDescent="0.3">
      <c r="A38" s="13">
        <v>46283</v>
      </c>
      <c r="B38" s="14">
        <v>400</v>
      </c>
      <c r="C38" s="14">
        <v>30</v>
      </c>
      <c r="D38" s="14">
        <v>200</v>
      </c>
      <c r="E38" s="14">
        <v>30</v>
      </c>
      <c r="F38" s="14">
        <v>250</v>
      </c>
      <c r="G38" s="14">
        <v>5</v>
      </c>
      <c r="H38" s="14">
        <v>80</v>
      </c>
      <c r="I38" s="15">
        <f t="shared" si="1"/>
        <v>990</v>
      </c>
      <c r="J38" s="15">
        <f t="shared" si="0"/>
        <v>450</v>
      </c>
      <c r="K38" s="16" t="s">
        <v>71</v>
      </c>
      <c r="L38" s="16" t="s">
        <v>77</v>
      </c>
      <c r="M38" s="16" t="s">
        <v>64</v>
      </c>
      <c r="N38" s="17" t="s">
        <v>99</v>
      </c>
    </row>
    <row r="39" spans="1:14" x14ac:dyDescent="0.3">
      <c r="A39" s="13">
        <v>46284</v>
      </c>
      <c r="B39" s="14">
        <v>500</v>
      </c>
      <c r="C39" s="14">
        <v>40</v>
      </c>
      <c r="D39" s="14">
        <v>250</v>
      </c>
      <c r="E39" s="14">
        <v>50</v>
      </c>
      <c r="F39" s="14">
        <v>150</v>
      </c>
      <c r="G39" s="14">
        <v>3</v>
      </c>
      <c r="H39" s="14">
        <v>90</v>
      </c>
      <c r="I39" s="15">
        <f t="shared" si="1"/>
        <v>1080</v>
      </c>
      <c r="J39" s="15">
        <f t="shared" si="0"/>
        <v>360</v>
      </c>
      <c r="K39" s="16" t="s">
        <v>63</v>
      </c>
      <c r="L39" s="16" t="s">
        <v>50</v>
      </c>
      <c r="M39" s="16" t="s">
        <v>64</v>
      </c>
      <c r="N39" s="17" t="s">
        <v>100</v>
      </c>
    </row>
    <row r="40" spans="1:14" x14ac:dyDescent="0.3">
      <c r="A40" s="13">
        <v>46285</v>
      </c>
      <c r="B40" s="14">
        <v>800</v>
      </c>
      <c r="C40" s="14">
        <v>20</v>
      </c>
      <c r="D40" s="14">
        <v>100</v>
      </c>
      <c r="E40" s="14">
        <v>0</v>
      </c>
      <c r="F40" s="14">
        <v>0</v>
      </c>
      <c r="G40" s="14">
        <v>0</v>
      </c>
      <c r="H40" s="14">
        <v>30</v>
      </c>
      <c r="I40" s="15">
        <f t="shared" si="1"/>
        <v>950</v>
      </c>
      <c r="J40" s="15">
        <f t="shared" si="0"/>
        <v>490</v>
      </c>
      <c r="K40" s="16" t="s">
        <v>49</v>
      </c>
      <c r="L40" s="16" t="s">
        <v>63</v>
      </c>
      <c r="M40" s="16" t="s">
        <v>71</v>
      </c>
      <c r="N40" s="17" t="s">
        <v>101</v>
      </c>
    </row>
    <row r="41" spans="1:14" x14ac:dyDescent="0.3">
      <c r="A41" s="13">
        <v>46286</v>
      </c>
      <c r="B41" s="14">
        <v>400</v>
      </c>
      <c r="C41" s="14">
        <v>30</v>
      </c>
      <c r="D41" s="14">
        <v>400</v>
      </c>
      <c r="E41" s="14">
        <v>70</v>
      </c>
      <c r="F41" s="14">
        <v>150</v>
      </c>
      <c r="G41" s="14">
        <v>3</v>
      </c>
      <c r="H41" s="14">
        <v>70</v>
      </c>
      <c r="I41" s="15">
        <f t="shared" si="1"/>
        <v>1120</v>
      </c>
      <c r="J41" s="15">
        <f t="shared" si="0"/>
        <v>320</v>
      </c>
      <c r="K41" s="16" t="s">
        <v>63</v>
      </c>
      <c r="L41" s="16" t="s">
        <v>50</v>
      </c>
      <c r="M41" s="16" t="s">
        <v>71</v>
      </c>
      <c r="N41" s="17" t="s">
        <v>102</v>
      </c>
    </row>
    <row r="42" spans="1:14" x14ac:dyDescent="0.3">
      <c r="A42" s="13">
        <v>46287</v>
      </c>
      <c r="B42" s="14">
        <v>500</v>
      </c>
      <c r="C42" s="14">
        <v>30</v>
      </c>
      <c r="D42" s="14">
        <v>200</v>
      </c>
      <c r="E42" s="14">
        <v>45</v>
      </c>
      <c r="F42" s="14">
        <v>350</v>
      </c>
      <c r="G42" s="14">
        <v>7</v>
      </c>
      <c r="H42" s="14">
        <v>50</v>
      </c>
      <c r="I42" s="15">
        <f t="shared" si="1"/>
        <v>1175</v>
      </c>
      <c r="J42" s="15">
        <f t="shared" si="0"/>
        <v>265</v>
      </c>
      <c r="K42" s="16" t="s">
        <v>49</v>
      </c>
      <c r="L42" s="16" t="s">
        <v>50</v>
      </c>
      <c r="M42" s="16" t="s">
        <v>64</v>
      </c>
      <c r="N42" s="17" t="s">
        <v>103</v>
      </c>
    </row>
    <row r="43" spans="1:14" ht="28.8" x14ac:dyDescent="0.3">
      <c r="A43" s="13">
        <v>46288</v>
      </c>
      <c r="B43" s="14">
        <v>600</v>
      </c>
      <c r="C43" s="14">
        <v>40</v>
      </c>
      <c r="D43" s="14">
        <v>300</v>
      </c>
      <c r="E43" s="14">
        <v>60</v>
      </c>
      <c r="F43" s="14">
        <v>200</v>
      </c>
      <c r="G43" s="14">
        <v>4</v>
      </c>
      <c r="H43" s="14">
        <v>35</v>
      </c>
      <c r="I43" s="15">
        <f t="shared" si="1"/>
        <v>1235</v>
      </c>
      <c r="J43" s="15">
        <f t="shared" si="0"/>
        <v>205</v>
      </c>
      <c r="K43" s="16" t="s">
        <v>49</v>
      </c>
      <c r="L43" s="16" t="s">
        <v>63</v>
      </c>
      <c r="M43" s="16" t="s">
        <v>74</v>
      </c>
      <c r="N43" s="17" t="s">
        <v>104</v>
      </c>
    </row>
    <row r="44" spans="1:14" x14ac:dyDescent="0.3">
      <c r="A44" s="13">
        <v>46289</v>
      </c>
      <c r="B44" s="14">
        <v>650</v>
      </c>
      <c r="C44" s="21">
        <v>45</v>
      </c>
      <c r="D44" s="14">
        <v>150</v>
      </c>
      <c r="E44" s="14">
        <v>70</v>
      </c>
      <c r="F44" s="14">
        <v>350</v>
      </c>
      <c r="G44" s="14">
        <v>7</v>
      </c>
      <c r="H44" s="14">
        <v>40</v>
      </c>
      <c r="I44" s="15">
        <f t="shared" si="1"/>
        <v>1305</v>
      </c>
      <c r="J44" s="15">
        <f t="shared" si="0"/>
        <v>135</v>
      </c>
      <c r="K44" s="16" t="s">
        <v>63</v>
      </c>
      <c r="L44" s="16" t="s">
        <v>77</v>
      </c>
      <c r="M44" s="16" t="s">
        <v>64</v>
      </c>
      <c r="N44" s="17" t="s">
        <v>105</v>
      </c>
    </row>
    <row r="45" spans="1:14" x14ac:dyDescent="0.3">
      <c r="A45" s="13">
        <v>46290</v>
      </c>
      <c r="B45" s="14">
        <v>700</v>
      </c>
      <c r="C45" s="14">
        <v>40</v>
      </c>
      <c r="D45" s="14">
        <v>100</v>
      </c>
      <c r="E45" s="14">
        <v>50</v>
      </c>
      <c r="F45" s="14">
        <v>300</v>
      </c>
      <c r="G45" s="14">
        <v>6</v>
      </c>
      <c r="H45" s="14">
        <v>50</v>
      </c>
      <c r="I45" s="15">
        <f t="shared" si="1"/>
        <v>1240</v>
      </c>
      <c r="J45" s="15">
        <f t="shared" si="0"/>
        <v>200</v>
      </c>
      <c r="K45" s="16" t="s">
        <v>49</v>
      </c>
      <c r="L45" s="16" t="s">
        <v>63</v>
      </c>
      <c r="M45" s="16" t="s">
        <v>64</v>
      </c>
      <c r="N45" s="17" t="s">
        <v>106</v>
      </c>
    </row>
    <row r="46" spans="1:14" x14ac:dyDescent="0.3">
      <c r="A46" s="13">
        <v>46291</v>
      </c>
      <c r="B46" s="14">
        <v>600</v>
      </c>
      <c r="C46" s="14">
        <v>50</v>
      </c>
      <c r="D46" s="14">
        <v>200</v>
      </c>
      <c r="E46" s="14">
        <v>60</v>
      </c>
      <c r="F46" s="14">
        <v>0</v>
      </c>
      <c r="G46" s="14">
        <v>0</v>
      </c>
      <c r="H46" s="14">
        <v>80</v>
      </c>
      <c r="I46" s="15">
        <f t="shared" si="1"/>
        <v>990</v>
      </c>
      <c r="J46" s="15">
        <f t="shared" si="0"/>
        <v>450</v>
      </c>
      <c r="K46" s="16" t="s">
        <v>49</v>
      </c>
      <c r="L46" s="16" t="s">
        <v>63</v>
      </c>
      <c r="M46" s="16" t="s">
        <v>74</v>
      </c>
      <c r="N46" s="17" t="s">
        <v>107</v>
      </c>
    </row>
    <row r="47" spans="1:14" x14ac:dyDescent="0.3">
      <c r="A47" s="13">
        <v>46292</v>
      </c>
      <c r="B47" s="14">
        <v>500</v>
      </c>
      <c r="C47" s="14">
        <v>45</v>
      </c>
      <c r="D47" s="14">
        <v>100</v>
      </c>
      <c r="E47" s="14">
        <v>35</v>
      </c>
      <c r="F47" s="14">
        <v>0</v>
      </c>
      <c r="G47" s="14">
        <v>0</v>
      </c>
      <c r="H47" s="14">
        <v>75</v>
      </c>
      <c r="I47" s="15">
        <f t="shared" si="1"/>
        <v>755</v>
      </c>
      <c r="J47" s="15">
        <f t="shared" si="0"/>
        <v>685</v>
      </c>
      <c r="K47" s="16" t="s">
        <v>49</v>
      </c>
      <c r="L47" s="16" t="s">
        <v>63</v>
      </c>
      <c r="M47" s="16" t="s">
        <v>71</v>
      </c>
      <c r="N47" s="17"/>
    </row>
    <row r="48" spans="1:14" x14ac:dyDescent="0.3">
      <c r="A48" s="13">
        <v>46293</v>
      </c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 x14ac:dyDescent="0.3">
      <c r="A49" s="13">
        <v>46294</v>
      </c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 x14ac:dyDescent="0.3">
      <c r="A50" s="13">
        <v>46295</v>
      </c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 x14ac:dyDescent="0.3">
      <c r="A51" s="13">
        <v>46296</v>
      </c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 x14ac:dyDescent="0.3">
      <c r="A52" s="13">
        <v>46297</v>
      </c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">
      <c r="A53" s="13">
        <v>46298</v>
      </c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">
      <c r="A54" s="13">
        <v>46299</v>
      </c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">
      <c r="A55" s="13">
        <v>46300</v>
      </c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">
      <c r="A56" s="13">
        <v>46301</v>
      </c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">
      <c r="A57" s="13">
        <v>46302</v>
      </c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">
      <c r="A58" s="13">
        <v>46303</v>
      </c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">
      <c r="A59" s="13">
        <v>46304</v>
      </c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">
      <c r="A60" s="13">
        <v>46305</v>
      </c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">
      <c r="A61" s="13">
        <v>46306</v>
      </c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">
      <c r="A62" s="13">
        <v>46307</v>
      </c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">
      <c r="A63" s="13">
        <v>46308</v>
      </c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">
      <c r="A64" s="13">
        <v>46309</v>
      </c>
      <c r="B64" s="14"/>
      <c r="C64" s="14"/>
      <c r="D64" s="14"/>
      <c r="E64" s="14"/>
      <c r="F64" s="14"/>
      <c r="G64" s="14"/>
      <c r="H64" s="14"/>
      <c r="I64" s="15" t="str">
        <f t="shared" ref="I64:I127" si="3">IF(SUM(B64:F64,H64)=0,"",SUM(B64:F64,H64))</f>
        <v/>
      </c>
      <c r="J64" s="15" t="str">
        <f t="shared" ref="J64:J127" si="4">IF(I64="","",1440-I64)</f>
        <v/>
      </c>
      <c r="K64" s="16"/>
      <c r="L64" s="16"/>
      <c r="M64" s="16"/>
      <c r="N64" s="17"/>
    </row>
    <row r="65" spans="1:14" x14ac:dyDescent="0.3">
      <c r="A65" s="13">
        <v>46310</v>
      </c>
      <c r="B65" s="14"/>
      <c r="C65" s="14"/>
      <c r="D65" s="14"/>
      <c r="E65" s="14"/>
      <c r="F65" s="14"/>
      <c r="G65" s="14"/>
      <c r="H65" s="14"/>
      <c r="I65" s="15" t="str">
        <f t="shared" si="3"/>
        <v/>
      </c>
      <c r="J65" s="15" t="str">
        <f t="shared" si="4"/>
        <v/>
      </c>
      <c r="K65" s="16"/>
      <c r="L65" s="16"/>
      <c r="M65" s="16"/>
      <c r="N65" s="17"/>
    </row>
    <row r="66" spans="1:14" x14ac:dyDescent="0.3">
      <c r="A66" s="13">
        <v>46311</v>
      </c>
      <c r="B66" s="14"/>
      <c r="C66" s="14"/>
      <c r="D66" s="14"/>
      <c r="E66" s="14"/>
      <c r="F66" s="14"/>
      <c r="G66" s="14"/>
      <c r="H66" s="14"/>
      <c r="I66" s="15" t="str">
        <f t="shared" si="3"/>
        <v/>
      </c>
      <c r="J66" s="15" t="str">
        <f t="shared" si="4"/>
        <v/>
      </c>
      <c r="K66" s="16"/>
      <c r="L66" s="16"/>
      <c r="M66" s="16"/>
      <c r="N66" s="17"/>
    </row>
    <row r="67" spans="1:14" x14ac:dyDescent="0.3">
      <c r="A67" s="13">
        <v>46312</v>
      </c>
      <c r="B67" s="14"/>
      <c r="C67" s="14"/>
      <c r="D67" s="14"/>
      <c r="E67" s="14"/>
      <c r="F67" s="14"/>
      <c r="G67" s="14"/>
      <c r="H67" s="14"/>
      <c r="I67" s="15" t="str">
        <f t="shared" si="3"/>
        <v/>
      </c>
      <c r="J67" s="15" t="str">
        <f t="shared" si="4"/>
        <v/>
      </c>
      <c r="K67" s="16"/>
      <c r="L67" s="16"/>
      <c r="M67" s="16"/>
      <c r="N67" s="17"/>
    </row>
    <row r="68" spans="1:14" x14ac:dyDescent="0.3">
      <c r="A68" s="13">
        <v>46313</v>
      </c>
      <c r="B68" s="14"/>
      <c r="C68" s="14"/>
      <c r="D68" s="14"/>
      <c r="E68" s="14"/>
      <c r="F68" s="14"/>
      <c r="G68" s="14"/>
      <c r="H68" s="14"/>
      <c r="I68" s="15" t="str">
        <f t="shared" si="3"/>
        <v/>
      </c>
      <c r="J68" s="15" t="str">
        <f t="shared" si="4"/>
        <v/>
      </c>
      <c r="K68" s="16"/>
      <c r="L68" s="16"/>
      <c r="M68" s="16"/>
      <c r="N68" s="17"/>
    </row>
    <row r="69" spans="1:14" x14ac:dyDescent="0.3">
      <c r="A69" s="13">
        <v>46314</v>
      </c>
      <c r="B69" s="14"/>
      <c r="C69" s="14"/>
      <c r="D69" s="14"/>
      <c r="E69" s="14"/>
      <c r="F69" s="14"/>
      <c r="G69" s="14"/>
      <c r="H69" s="14"/>
      <c r="I69" s="15" t="str">
        <f t="shared" si="3"/>
        <v/>
      </c>
      <c r="J69" s="15" t="str">
        <f t="shared" si="4"/>
        <v/>
      </c>
      <c r="K69" s="16"/>
      <c r="L69" s="16"/>
      <c r="M69" s="16"/>
      <c r="N69" s="17"/>
    </row>
    <row r="70" spans="1:14" x14ac:dyDescent="0.3">
      <c r="A70" s="13">
        <v>46315</v>
      </c>
      <c r="B70" s="14"/>
      <c r="C70" s="14"/>
      <c r="D70" s="14"/>
      <c r="E70" s="14"/>
      <c r="F70" s="14"/>
      <c r="G70" s="14"/>
      <c r="H70" s="14"/>
      <c r="I70" s="15" t="str">
        <f t="shared" si="3"/>
        <v/>
      </c>
      <c r="J70" s="15" t="str">
        <f t="shared" si="4"/>
        <v/>
      </c>
      <c r="K70" s="16"/>
      <c r="L70" s="16"/>
      <c r="M70" s="16"/>
      <c r="N70" s="17"/>
    </row>
    <row r="71" spans="1:14" x14ac:dyDescent="0.3">
      <c r="A71" s="13">
        <v>46316</v>
      </c>
      <c r="B71" s="14"/>
      <c r="C71" s="14"/>
      <c r="D71" s="14"/>
      <c r="E71" s="14"/>
      <c r="F71" s="14"/>
      <c r="G71" s="14"/>
      <c r="H71" s="14"/>
      <c r="I71" s="15" t="str">
        <f t="shared" si="3"/>
        <v/>
      </c>
      <c r="J71" s="15" t="str">
        <f t="shared" si="4"/>
        <v/>
      </c>
      <c r="K71" s="16"/>
      <c r="L71" s="16"/>
      <c r="M71" s="16"/>
      <c r="N71" s="17"/>
    </row>
    <row r="72" spans="1:14" x14ac:dyDescent="0.3">
      <c r="A72" s="13">
        <v>46317</v>
      </c>
      <c r="B72" s="14"/>
      <c r="C72" s="14"/>
      <c r="D72" s="14"/>
      <c r="E72" s="14"/>
      <c r="F72" s="14"/>
      <c r="G72" s="14"/>
      <c r="H72" s="14"/>
      <c r="I72" s="15" t="str">
        <f t="shared" si="3"/>
        <v/>
      </c>
      <c r="J72" s="15" t="str">
        <f t="shared" si="4"/>
        <v/>
      </c>
      <c r="K72" s="16"/>
      <c r="L72" s="16"/>
      <c r="M72" s="16"/>
      <c r="N72" s="17"/>
    </row>
    <row r="73" spans="1:14" x14ac:dyDescent="0.3">
      <c r="A73" s="13">
        <v>46318</v>
      </c>
      <c r="B73" s="14"/>
      <c r="C73" s="14"/>
      <c r="D73" s="14"/>
      <c r="E73" s="14"/>
      <c r="F73" s="14"/>
      <c r="G73" s="14"/>
      <c r="H73" s="14"/>
      <c r="I73" s="15" t="str">
        <f t="shared" si="3"/>
        <v/>
      </c>
      <c r="J73" s="15" t="str">
        <f t="shared" si="4"/>
        <v/>
      </c>
      <c r="K73" s="16"/>
      <c r="L73" s="16"/>
      <c r="M73" s="16"/>
      <c r="N73" s="17"/>
    </row>
    <row r="74" spans="1:14" x14ac:dyDescent="0.3">
      <c r="A74" s="13">
        <v>46319</v>
      </c>
      <c r="B74" s="14"/>
      <c r="C74" s="14"/>
      <c r="D74" s="14"/>
      <c r="E74" s="14"/>
      <c r="F74" s="14"/>
      <c r="G74" s="14"/>
      <c r="H74" s="14"/>
      <c r="I74" s="15" t="str">
        <f t="shared" si="3"/>
        <v/>
      </c>
      <c r="J74" s="15" t="str">
        <f t="shared" si="4"/>
        <v/>
      </c>
      <c r="K74" s="16"/>
      <c r="L74" s="16"/>
      <c r="M74" s="16"/>
      <c r="N74" s="17"/>
    </row>
    <row r="75" spans="1:14" x14ac:dyDescent="0.3">
      <c r="A75" s="13">
        <v>46320</v>
      </c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4"/>
        <v/>
      </c>
      <c r="K75" s="16"/>
      <c r="L75" s="16"/>
      <c r="M75" s="16"/>
      <c r="N75" s="17"/>
    </row>
    <row r="76" spans="1:14" x14ac:dyDescent="0.3">
      <c r="A76" s="13">
        <v>46321</v>
      </c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4"/>
        <v/>
      </c>
      <c r="K76" s="16"/>
      <c r="L76" s="16"/>
      <c r="M76" s="16"/>
      <c r="N76" s="17"/>
    </row>
    <row r="77" spans="1:14" x14ac:dyDescent="0.3">
      <c r="A77" s="13">
        <v>46322</v>
      </c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4"/>
        <v/>
      </c>
      <c r="K77" s="16"/>
      <c r="L77" s="16"/>
      <c r="M77" s="16"/>
      <c r="N77" s="17"/>
    </row>
    <row r="78" spans="1:14" x14ac:dyDescent="0.3">
      <c r="A78" s="13">
        <v>46323</v>
      </c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4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4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4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4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4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4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4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4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si="4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4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4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4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4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4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4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4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4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4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4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4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4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4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4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3"/>
        <v/>
      </c>
      <c r="J101" s="15" t="str">
        <f t="shared" si="4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3"/>
        <v/>
      </c>
      <c r="J102" s="15" t="str">
        <f t="shared" si="4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3"/>
        <v/>
      </c>
      <c r="J103" s="15" t="str">
        <f t="shared" si="4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3"/>
        <v/>
      </c>
      <c r="J104" s="15" t="str">
        <f t="shared" si="4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3"/>
        <v/>
      </c>
      <c r="J105" s="15" t="str">
        <f t="shared" si="4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3"/>
        <v/>
      </c>
      <c r="J106" s="15" t="str">
        <f t="shared" si="4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3"/>
        <v/>
      </c>
      <c r="J107" s="15" t="str">
        <f t="shared" si="4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3"/>
        <v/>
      </c>
      <c r="J108" s="15" t="str">
        <f t="shared" si="4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3"/>
        <v/>
      </c>
      <c r="J109" s="15" t="str">
        <f t="shared" si="4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3"/>
        <v/>
      </c>
      <c r="J110" s="15" t="str">
        <f t="shared" si="4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3"/>
        <v/>
      </c>
      <c r="J111" s="15" t="str">
        <f t="shared" si="4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3"/>
        <v/>
      </c>
      <c r="J112" s="15" t="str">
        <f t="shared" si="4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3"/>
        <v/>
      </c>
      <c r="J113" s="15" t="str">
        <f t="shared" si="4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3"/>
        <v/>
      </c>
      <c r="J114" s="15" t="str">
        <f t="shared" si="4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3"/>
        <v/>
      </c>
      <c r="J115" s="15" t="str">
        <f t="shared" si="4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3"/>
        <v/>
      </c>
      <c r="J116" s="15" t="str">
        <f t="shared" si="4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3"/>
        <v/>
      </c>
      <c r="J117" s="15" t="str">
        <f t="shared" si="4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3"/>
        <v/>
      </c>
      <c r="J118" s="15" t="str">
        <f t="shared" si="4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3"/>
        <v/>
      </c>
      <c r="J119" s="15" t="str">
        <f t="shared" si="4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3"/>
        <v/>
      </c>
      <c r="J120" s="15" t="str">
        <f t="shared" si="4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3"/>
        <v/>
      </c>
      <c r="J121" s="15" t="str">
        <f t="shared" si="4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3"/>
        <v/>
      </c>
      <c r="J122" s="15" t="str">
        <f t="shared" si="4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3"/>
        <v/>
      </c>
      <c r="J123" s="15" t="str">
        <f t="shared" si="4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3"/>
        <v/>
      </c>
      <c r="J124" s="15" t="str">
        <f t="shared" si="4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3"/>
        <v/>
      </c>
      <c r="J125" s="15" t="str">
        <f t="shared" si="4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3"/>
        <v/>
      </c>
      <c r="J126" s="15" t="str">
        <f t="shared" si="4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3"/>
        <v/>
      </c>
      <c r="J127" s="15" t="str">
        <f t="shared" si="4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ref="I128:I191" si="5">IF(SUM(B128:F128,H128)=0,"",SUM(B128:F128,H128))</f>
        <v/>
      </c>
      <c r="J128" s="15" t="str">
        <f t="shared" ref="J128:J191" si="6">IF(I128="","",1440-I128)</f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5"/>
        <v/>
      </c>
      <c r="J129" s="15" t="str">
        <f t="shared" si="6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5"/>
        <v/>
      </c>
      <c r="J130" s="15" t="str">
        <f t="shared" si="6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5"/>
        <v/>
      </c>
      <c r="J131" s="15" t="str">
        <f t="shared" si="6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5"/>
        <v/>
      </c>
      <c r="J132" s="15" t="str">
        <f t="shared" si="6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5"/>
        <v/>
      </c>
      <c r="J133" s="15" t="str">
        <f t="shared" si="6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5"/>
        <v/>
      </c>
      <c r="J134" s="15" t="str">
        <f t="shared" si="6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6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6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6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6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6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6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6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6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6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6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6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6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6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6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6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5"/>
        <v/>
      </c>
      <c r="J150" s="15" t="str">
        <f t="shared" si="6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5"/>
        <v/>
      </c>
      <c r="J151" s="15" t="str">
        <f t="shared" si="6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5"/>
        <v/>
      </c>
      <c r="J152" s="15" t="str">
        <f t="shared" si="6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5"/>
        <v/>
      </c>
      <c r="J153" s="15" t="str">
        <f t="shared" si="6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5"/>
        <v/>
      </c>
      <c r="J154" s="15" t="str">
        <f t="shared" si="6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5"/>
        <v/>
      </c>
      <c r="J155" s="15" t="str">
        <f t="shared" si="6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5"/>
        <v/>
      </c>
      <c r="J156" s="15" t="str">
        <f t="shared" si="6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5"/>
        <v/>
      </c>
      <c r="J157" s="15" t="str">
        <f t="shared" si="6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5"/>
        <v/>
      </c>
      <c r="J158" s="15" t="str">
        <f t="shared" si="6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5"/>
        <v/>
      </c>
      <c r="J159" s="15" t="str">
        <f t="shared" si="6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5"/>
        <v/>
      </c>
      <c r="J160" s="15" t="str">
        <f t="shared" si="6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5"/>
        <v/>
      </c>
      <c r="J161" s="15" t="str">
        <f t="shared" si="6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5"/>
        <v/>
      </c>
      <c r="J162" s="15" t="str">
        <f t="shared" si="6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5"/>
        <v/>
      </c>
      <c r="J163" s="15" t="str">
        <f t="shared" si="6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5"/>
        <v/>
      </c>
      <c r="J164" s="15" t="str">
        <f t="shared" si="6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5"/>
        <v/>
      </c>
      <c r="J165" s="15" t="str">
        <f t="shared" si="6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5"/>
        <v/>
      </c>
      <c r="J166" s="15" t="str">
        <f t="shared" si="6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5"/>
        <v/>
      </c>
      <c r="J167" s="15" t="str">
        <f t="shared" si="6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5"/>
        <v/>
      </c>
      <c r="J168" s="15" t="str">
        <f t="shared" si="6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5"/>
        <v/>
      </c>
      <c r="J169" s="15" t="str">
        <f t="shared" si="6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5"/>
        <v/>
      </c>
      <c r="J170" s="15" t="str">
        <f t="shared" si="6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5"/>
        <v/>
      </c>
      <c r="J171" s="15" t="str">
        <f t="shared" si="6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5"/>
        <v/>
      </c>
      <c r="J172" s="15" t="str">
        <f t="shared" si="6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5"/>
        <v/>
      </c>
      <c r="J173" s="15" t="str">
        <f t="shared" si="6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5"/>
        <v/>
      </c>
      <c r="J174" s="15" t="str">
        <f t="shared" si="6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5"/>
        <v/>
      </c>
      <c r="J175" s="15" t="str">
        <f t="shared" si="6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5"/>
        <v/>
      </c>
      <c r="J176" s="15" t="str">
        <f t="shared" si="6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5"/>
        <v/>
      </c>
      <c r="J177" s="15" t="str">
        <f t="shared" si="6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5"/>
        <v/>
      </c>
      <c r="J178" s="15" t="str">
        <f t="shared" si="6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5"/>
        <v/>
      </c>
      <c r="J179" s="15" t="str">
        <f t="shared" si="6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5"/>
        <v/>
      </c>
      <c r="J180" s="15" t="str">
        <f t="shared" si="6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5"/>
        <v/>
      </c>
      <c r="J181" s="15" t="str">
        <f t="shared" si="6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5"/>
        <v/>
      </c>
      <c r="J182" s="15" t="str">
        <f t="shared" si="6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5"/>
        <v/>
      </c>
      <c r="J183" s="15" t="str">
        <f t="shared" si="6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5"/>
        <v/>
      </c>
      <c r="J184" s="15" t="str">
        <f t="shared" si="6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5"/>
        <v/>
      </c>
      <c r="J185" s="15" t="str">
        <f t="shared" si="6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5"/>
        <v/>
      </c>
      <c r="J186" s="15" t="str">
        <f t="shared" si="6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5"/>
        <v/>
      </c>
      <c r="J187" s="15" t="str">
        <f t="shared" si="6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5"/>
        <v/>
      </c>
      <c r="J188" s="15" t="str">
        <f t="shared" si="6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5"/>
        <v/>
      </c>
      <c r="J189" s="15" t="str">
        <f t="shared" si="6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5"/>
        <v/>
      </c>
      <c r="J190" s="15" t="str">
        <f t="shared" si="6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5"/>
        <v/>
      </c>
      <c r="J191" s="15" t="str">
        <f t="shared" si="6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ref="I192:I255" si="7">IF(SUM(B192:F192,H192)=0,"",SUM(B192:F192,H192))</f>
        <v/>
      </c>
      <c r="J192" s="15" t="str">
        <f t="shared" ref="J192:J255" si="8">IF(I192="","",1440-I192)</f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7"/>
        <v/>
      </c>
      <c r="J193" s="15" t="str">
        <f t="shared" si="8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7"/>
        <v/>
      </c>
      <c r="J194" s="15" t="str">
        <f t="shared" si="8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7"/>
        <v/>
      </c>
      <c r="J195" s="15" t="str">
        <f t="shared" si="8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7"/>
        <v/>
      </c>
      <c r="J196" s="15" t="str">
        <f t="shared" si="8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7"/>
        <v/>
      </c>
      <c r="J197" s="15" t="str">
        <f t="shared" si="8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7"/>
        <v/>
      </c>
      <c r="J198" s="15" t="str">
        <f t="shared" si="8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8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8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8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8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8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8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8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7"/>
        <v/>
      </c>
      <c r="J206" s="15" t="str">
        <f t="shared" si="8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7"/>
        <v/>
      </c>
      <c r="J207" s="15" t="str">
        <f t="shared" si="8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7"/>
        <v/>
      </c>
      <c r="J208" s="15" t="str">
        <f t="shared" si="8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7"/>
        <v/>
      </c>
      <c r="J209" s="15" t="str">
        <f t="shared" si="8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7"/>
        <v/>
      </c>
      <c r="J210" s="15" t="str">
        <f t="shared" si="8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7"/>
        <v/>
      </c>
      <c r="J211" s="15" t="str">
        <f t="shared" si="8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7"/>
        <v/>
      </c>
      <c r="J212" s="15" t="str">
        <f t="shared" si="8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7"/>
        <v/>
      </c>
      <c r="J213" s="15" t="str">
        <f t="shared" si="8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7"/>
        <v/>
      </c>
      <c r="J214" s="15" t="str">
        <f t="shared" si="8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7"/>
        <v/>
      </c>
      <c r="J215" s="15" t="str">
        <f t="shared" si="8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7"/>
        <v/>
      </c>
      <c r="J216" s="15" t="str">
        <f t="shared" si="8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7"/>
        <v/>
      </c>
      <c r="J217" s="15" t="str">
        <f t="shared" si="8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7"/>
        <v/>
      </c>
      <c r="J218" s="15" t="str">
        <f t="shared" si="8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7"/>
        <v/>
      </c>
      <c r="J219" s="15" t="str">
        <f t="shared" si="8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7"/>
        <v/>
      </c>
      <c r="J220" s="15" t="str">
        <f t="shared" si="8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7"/>
        <v/>
      </c>
      <c r="J221" s="15" t="str">
        <f t="shared" si="8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7"/>
        <v/>
      </c>
      <c r="J222" s="15" t="str">
        <f t="shared" si="8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7"/>
        <v/>
      </c>
      <c r="J223" s="15" t="str">
        <f t="shared" si="8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7"/>
        <v/>
      </c>
      <c r="J224" s="15" t="str">
        <f t="shared" si="8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7"/>
        <v/>
      </c>
      <c r="J225" s="15" t="str">
        <f t="shared" si="8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7"/>
        <v/>
      </c>
      <c r="J226" s="15" t="str">
        <f t="shared" si="8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7"/>
        <v/>
      </c>
      <c r="J227" s="15" t="str">
        <f t="shared" si="8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7"/>
        <v/>
      </c>
      <c r="J228" s="15" t="str">
        <f t="shared" si="8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7"/>
        <v/>
      </c>
      <c r="J229" s="15" t="str">
        <f t="shared" si="8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7"/>
        <v/>
      </c>
      <c r="J230" s="15" t="str">
        <f t="shared" si="8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7"/>
        <v/>
      </c>
      <c r="J231" s="15" t="str">
        <f t="shared" si="8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7"/>
        <v/>
      </c>
      <c r="J232" s="15" t="str">
        <f t="shared" si="8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7"/>
        <v/>
      </c>
      <c r="J233" s="15" t="str">
        <f t="shared" si="8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7"/>
        <v/>
      </c>
      <c r="J234" s="15" t="str">
        <f t="shared" si="8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7"/>
        <v/>
      </c>
      <c r="J235" s="15" t="str">
        <f t="shared" si="8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7"/>
        <v/>
      </c>
      <c r="J236" s="15" t="str">
        <f t="shared" si="8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7"/>
        <v/>
      </c>
      <c r="J237" s="15" t="str">
        <f t="shared" si="8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7"/>
        <v/>
      </c>
      <c r="J238" s="15" t="str">
        <f t="shared" si="8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7"/>
        <v/>
      </c>
      <c r="J239" s="15" t="str">
        <f t="shared" si="8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7"/>
        <v/>
      </c>
      <c r="J240" s="15" t="str">
        <f t="shared" si="8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7"/>
        <v/>
      </c>
      <c r="J241" s="15" t="str">
        <f t="shared" si="8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7"/>
        <v/>
      </c>
      <c r="J242" s="15" t="str">
        <f t="shared" si="8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7"/>
        <v/>
      </c>
      <c r="J243" s="15" t="str">
        <f t="shared" si="8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7"/>
        <v/>
      </c>
      <c r="J244" s="15" t="str">
        <f t="shared" si="8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7"/>
        <v/>
      </c>
      <c r="J245" s="15" t="str">
        <f t="shared" si="8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7"/>
        <v/>
      </c>
      <c r="J246" s="15" t="str">
        <f t="shared" si="8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7"/>
        <v/>
      </c>
      <c r="J247" s="15" t="str">
        <f t="shared" si="8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7"/>
        <v/>
      </c>
      <c r="J248" s="15" t="str">
        <f t="shared" si="8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7"/>
        <v/>
      </c>
      <c r="J249" s="15" t="str">
        <f t="shared" si="8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7"/>
        <v/>
      </c>
      <c r="J250" s="15" t="str">
        <f t="shared" si="8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7"/>
        <v/>
      </c>
      <c r="J251" s="15" t="str">
        <f t="shared" si="8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7"/>
        <v/>
      </c>
      <c r="J252" s="15" t="str">
        <f t="shared" si="8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7"/>
        <v/>
      </c>
      <c r="J253" s="15" t="str">
        <f t="shared" si="8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7"/>
        <v/>
      </c>
      <c r="J254" s="15" t="str">
        <f t="shared" si="8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7"/>
        <v/>
      </c>
      <c r="J255" s="15" t="str">
        <f t="shared" si="8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ref="I256:I319" si="9">IF(SUM(B256:F256,H256)=0,"",SUM(B256:F256,H256))</f>
        <v/>
      </c>
      <c r="J256" s="15" t="str">
        <f t="shared" ref="J256:J319" si="10">IF(I256="","",1440-I256)</f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9"/>
        <v/>
      </c>
      <c r="J257" s="15" t="str">
        <f t="shared" si="10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9"/>
        <v/>
      </c>
      <c r="J258" s="15" t="str">
        <f t="shared" si="10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9"/>
        <v/>
      </c>
      <c r="J259" s="15" t="str">
        <f t="shared" si="10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9"/>
        <v/>
      </c>
      <c r="J260" s="15" t="str">
        <f t="shared" si="10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9"/>
        <v/>
      </c>
      <c r="J261" s="15" t="str">
        <f t="shared" si="10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9"/>
        <v/>
      </c>
      <c r="J262" s="15" t="str">
        <f t="shared" si="10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10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10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10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10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10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10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10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9"/>
        <v/>
      </c>
      <c r="J270" s="15" t="str">
        <f t="shared" si="10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9"/>
        <v/>
      </c>
      <c r="J271" s="15" t="str">
        <f t="shared" si="10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9"/>
        <v/>
      </c>
      <c r="J272" s="15" t="str">
        <f t="shared" si="10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9"/>
        <v/>
      </c>
      <c r="J273" s="15" t="str">
        <f t="shared" si="10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9"/>
        <v/>
      </c>
      <c r="J274" s="15" t="str">
        <f t="shared" si="10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9"/>
        <v/>
      </c>
      <c r="J275" s="15" t="str">
        <f t="shared" si="10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9"/>
        <v/>
      </c>
      <c r="J276" s="15" t="str">
        <f t="shared" si="10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9"/>
        <v/>
      </c>
      <c r="J277" s="15" t="str">
        <f t="shared" si="10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9"/>
        <v/>
      </c>
      <c r="J278" s="15" t="str">
        <f t="shared" si="10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9"/>
        <v/>
      </c>
      <c r="J279" s="15" t="str">
        <f t="shared" si="10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9"/>
        <v/>
      </c>
      <c r="J280" s="15" t="str">
        <f t="shared" si="10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9"/>
        <v/>
      </c>
      <c r="J281" s="15" t="str">
        <f t="shared" si="10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9"/>
        <v/>
      </c>
      <c r="J282" s="15" t="str">
        <f t="shared" si="10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9"/>
        <v/>
      </c>
      <c r="J283" s="15" t="str">
        <f t="shared" si="10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9"/>
        <v/>
      </c>
      <c r="J284" s="15" t="str">
        <f t="shared" si="10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9"/>
        <v/>
      </c>
      <c r="J285" s="15" t="str">
        <f t="shared" si="10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9"/>
        <v/>
      </c>
      <c r="J286" s="15" t="str">
        <f t="shared" si="10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9"/>
        <v/>
      </c>
      <c r="J287" s="15" t="str">
        <f t="shared" si="10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9"/>
        <v/>
      </c>
      <c r="J288" s="15" t="str">
        <f t="shared" si="10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9"/>
        <v/>
      </c>
      <c r="J289" s="15" t="str">
        <f t="shared" si="10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9"/>
        <v/>
      </c>
      <c r="J290" s="15" t="str">
        <f t="shared" si="10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9"/>
        <v/>
      </c>
      <c r="J291" s="15" t="str">
        <f t="shared" si="10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9"/>
        <v/>
      </c>
      <c r="J292" s="15" t="str">
        <f t="shared" si="10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9"/>
        <v/>
      </c>
      <c r="J293" s="15" t="str">
        <f t="shared" si="10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9"/>
        <v/>
      </c>
      <c r="J294" s="15" t="str">
        <f t="shared" si="10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9"/>
        <v/>
      </c>
      <c r="J295" s="15" t="str">
        <f t="shared" si="10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9"/>
        <v/>
      </c>
      <c r="J296" s="15" t="str">
        <f t="shared" si="10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9"/>
        <v/>
      </c>
      <c r="J297" s="15" t="str">
        <f t="shared" si="10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9"/>
        <v/>
      </c>
      <c r="J298" s="15" t="str">
        <f t="shared" si="10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9"/>
        <v/>
      </c>
      <c r="J299" s="15" t="str">
        <f t="shared" si="10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9"/>
        <v/>
      </c>
      <c r="J300" s="15" t="str">
        <f t="shared" si="10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9"/>
        <v/>
      </c>
      <c r="J301" s="15" t="str">
        <f t="shared" si="10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9"/>
        <v/>
      </c>
      <c r="J302" s="15" t="str">
        <f t="shared" si="10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9"/>
        <v/>
      </c>
      <c r="J303" s="15" t="str">
        <f t="shared" si="10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9"/>
        <v/>
      </c>
      <c r="J304" s="15" t="str">
        <f t="shared" si="10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9"/>
        <v/>
      </c>
      <c r="J305" s="15" t="str">
        <f t="shared" si="10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9"/>
        <v/>
      </c>
      <c r="J306" s="15" t="str">
        <f t="shared" si="10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9"/>
        <v/>
      </c>
      <c r="J307" s="15" t="str">
        <f t="shared" si="10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9"/>
        <v/>
      </c>
      <c r="J308" s="15" t="str">
        <f t="shared" si="10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9"/>
        <v/>
      </c>
      <c r="J309" s="15" t="str">
        <f t="shared" si="10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9"/>
        <v/>
      </c>
      <c r="J310" s="15" t="str">
        <f t="shared" si="10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9"/>
        <v/>
      </c>
      <c r="J311" s="15" t="str">
        <f t="shared" si="10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9"/>
        <v/>
      </c>
      <c r="J312" s="15" t="str">
        <f t="shared" si="10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9"/>
        <v/>
      </c>
      <c r="J313" s="15" t="str">
        <f t="shared" si="10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9"/>
        <v/>
      </c>
      <c r="J314" s="15" t="str">
        <f t="shared" si="10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9"/>
        <v/>
      </c>
      <c r="J315" s="15" t="str">
        <f t="shared" si="10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9"/>
        <v/>
      </c>
      <c r="J316" s="15" t="str">
        <f t="shared" si="10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9"/>
        <v/>
      </c>
      <c r="J317" s="15" t="str">
        <f t="shared" si="10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9"/>
        <v/>
      </c>
      <c r="J318" s="15" t="str">
        <f t="shared" si="10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9"/>
        <v/>
      </c>
      <c r="J319" s="15" t="str">
        <f t="shared" si="10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ref="I320:I383" si="11">IF(SUM(B320:F320,H320)=0,"",SUM(B320:F320,H320))</f>
        <v/>
      </c>
      <c r="J320" s="15" t="str">
        <f t="shared" ref="J320:J383" si="12">IF(I320="","",1440-I320)</f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1"/>
        <v/>
      </c>
      <c r="J321" s="15" t="str">
        <f t="shared" si="12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1"/>
        <v/>
      </c>
      <c r="J322" s="15" t="str">
        <f t="shared" si="12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1"/>
        <v/>
      </c>
      <c r="J323" s="15" t="str">
        <f t="shared" si="12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1"/>
        <v/>
      </c>
      <c r="J324" s="15" t="str">
        <f t="shared" si="12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1"/>
        <v/>
      </c>
      <c r="J325" s="15" t="str">
        <f t="shared" si="12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1"/>
        <v/>
      </c>
      <c r="J326" s="15" t="str">
        <f t="shared" si="12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2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2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2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2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2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2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2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1"/>
        <v/>
      </c>
      <c r="J334" s="15" t="str">
        <f t="shared" si="12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1"/>
        <v/>
      </c>
      <c r="J335" s="15" t="str">
        <f t="shared" si="12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1"/>
        <v/>
      </c>
      <c r="J336" s="15" t="str">
        <f t="shared" si="12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1"/>
        <v/>
      </c>
      <c r="J337" s="15" t="str">
        <f t="shared" si="12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1"/>
        <v/>
      </c>
      <c r="J338" s="15" t="str">
        <f t="shared" si="12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1"/>
        <v/>
      </c>
      <c r="J339" s="15" t="str">
        <f t="shared" si="12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1"/>
        <v/>
      </c>
      <c r="J340" s="15" t="str">
        <f t="shared" si="12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1"/>
        <v/>
      </c>
      <c r="J341" s="15" t="str">
        <f t="shared" si="12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1"/>
        <v/>
      </c>
      <c r="J342" s="15" t="str">
        <f t="shared" si="12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1"/>
        <v/>
      </c>
      <c r="J343" s="15" t="str">
        <f t="shared" si="12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1"/>
        <v/>
      </c>
      <c r="J344" s="15" t="str">
        <f t="shared" si="12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1"/>
        <v/>
      </c>
      <c r="J345" s="15" t="str">
        <f t="shared" si="12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1"/>
        <v/>
      </c>
      <c r="J346" s="15" t="str">
        <f t="shared" si="12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1"/>
        <v/>
      </c>
      <c r="J347" s="15" t="str">
        <f t="shared" si="12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1"/>
        <v/>
      </c>
      <c r="J348" s="15" t="str">
        <f t="shared" si="12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1"/>
        <v/>
      </c>
      <c r="J349" s="15" t="str">
        <f t="shared" si="12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1"/>
        <v/>
      </c>
      <c r="J350" s="15" t="str">
        <f t="shared" si="12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1"/>
        <v/>
      </c>
      <c r="J351" s="15" t="str">
        <f t="shared" si="12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1"/>
        <v/>
      </c>
      <c r="J352" s="15" t="str">
        <f t="shared" si="12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1"/>
        <v/>
      </c>
      <c r="J353" s="15" t="str">
        <f t="shared" si="12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1"/>
        <v/>
      </c>
      <c r="J354" s="15" t="str">
        <f t="shared" si="12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1"/>
        <v/>
      </c>
      <c r="J355" s="15" t="str">
        <f t="shared" si="12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1"/>
        <v/>
      </c>
      <c r="J356" s="15" t="str">
        <f t="shared" si="12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1"/>
        <v/>
      </c>
      <c r="J357" s="15" t="str">
        <f t="shared" si="12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1"/>
        <v/>
      </c>
      <c r="J358" s="15" t="str">
        <f t="shared" si="12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1"/>
        <v/>
      </c>
      <c r="J359" s="15" t="str">
        <f t="shared" si="12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1"/>
        <v/>
      </c>
      <c r="J360" s="15" t="str">
        <f t="shared" si="12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1"/>
        <v/>
      </c>
      <c r="J361" s="15" t="str">
        <f t="shared" si="12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1"/>
        <v/>
      </c>
      <c r="J362" s="15" t="str">
        <f t="shared" si="12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1"/>
        <v/>
      </c>
      <c r="J363" s="15" t="str">
        <f t="shared" si="12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1"/>
        <v/>
      </c>
      <c r="J364" s="15" t="str">
        <f t="shared" si="12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1"/>
        <v/>
      </c>
      <c r="J365" s="15" t="str">
        <f t="shared" si="12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1"/>
        <v/>
      </c>
      <c r="J366" s="15" t="str">
        <f t="shared" si="12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1"/>
        <v/>
      </c>
      <c r="J367" s="15" t="str">
        <f t="shared" si="12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1"/>
        <v/>
      </c>
      <c r="J368" s="15" t="str">
        <f t="shared" si="12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1"/>
        <v/>
      </c>
      <c r="J369" s="15" t="str">
        <f t="shared" si="12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1"/>
        <v/>
      </c>
      <c r="J370" s="15" t="str">
        <f t="shared" si="12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1"/>
        <v/>
      </c>
      <c r="J371" s="15" t="str">
        <f t="shared" si="12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1"/>
        <v/>
      </c>
      <c r="J372" s="15" t="str">
        <f t="shared" si="12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1"/>
        <v/>
      </c>
      <c r="J373" s="15" t="str">
        <f t="shared" si="12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1"/>
        <v/>
      </c>
      <c r="J374" s="15" t="str">
        <f t="shared" si="12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1"/>
        <v/>
      </c>
      <c r="J375" s="15" t="str">
        <f t="shared" si="12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1"/>
        <v/>
      </c>
      <c r="J376" s="15" t="str">
        <f t="shared" si="12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1"/>
        <v/>
      </c>
      <c r="J377" s="15" t="str">
        <f t="shared" si="12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1"/>
        <v/>
      </c>
      <c r="J378" s="15" t="str">
        <f t="shared" si="12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1"/>
        <v/>
      </c>
      <c r="J379" s="15" t="str">
        <f t="shared" si="12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1"/>
        <v/>
      </c>
      <c r="J380" s="15" t="str">
        <f t="shared" si="12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1"/>
        <v/>
      </c>
      <c r="J381" s="15" t="str">
        <f t="shared" si="12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1"/>
        <v/>
      </c>
      <c r="J382" s="15" t="str">
        <f t="shared" si="12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1"/>
        <v/>
      </c>
      <c r="J383" s="15" t="str">
        <f t="shared" si="12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ref="I384:I395" si="13">IF(SUM(B384:F384,H384)=0,"",SUM(B384:F384,H384))</f>
        <v/>
      </c>
      <c r="J384" s="15" t="str">
        <f t="shared" ref="J384:J395" si="14">IF(I384="","",1440-I384)</f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3"/>
        <v/>
      </c>
      <c r="J385" s="15" t="str">
        <f t="shared" si="14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3"/>
        <v/>
      </c>
      <c r="J386" s="15" t="str">
        <f t="shared" si="14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3"/>
        <v/>
      </c>
      <c r="J387" s="15" t="str">
        <f t="shared" si="14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3"/>
        <v/>
      </c>
      <c r="J388" s="15" t="str">
        <f t="shared" si="14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3"/>
        <v/>
      </c>
      <c r="J389" s="15" t="str">
        <f t="shared" si="14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3"/>
        <v/>
      </c>
      <c r="J390" s="15" t="str">
        <f t="shared" si="14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3"/>
        <v/>
      </c>
      <c r="J391" s="15" t="str">
        <f t="shared" si="14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3"/>
        <v/>
      </c>
      <c r="J392" s="15" t="str">
        <f t="shared" si="14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3"/>
        <v/>
      </c>
      <c r="J393" s="15" t="str">
        <f t="shared" si="14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3"/>
        <v/>
      </c>
      <c r="J394" s="15" t="str">
        <f t="shared" si="14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3"/>
        <v/>
      </c>
      <c r="J395" s="15" t="str">
        <f t="shared" si="14"/>
        <v/>
      </c>
      <c r="K395" s="16"/>
      <c r="L395" s="16"/>
      <c r="M395" s="16"/>
      <c r="N395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5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5" xr:uid="{00000000-0002-0000-0100-000000000000}">
      <formula1>"Excellent,Good,Neutral,Low,Stressed"</formula1>
      <formula2>0</formula2>
    </dataValidation>
    <dataValidation type="list" allowBlank="1" prompt="Select today's satisfaction level" sqref="L6:L39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5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mishty sharma</cp:lastModifiedBy>
  <cp:revision>0</cp:revision>
  <dcterms:created xsi:type="dcterms:W3CDTF">2026-07-24T11:49:30Z</dcterms:created>
  <dcterms:modified xsi:type="dcterms:W3CDTF">2026-10-21T14:21:20Z</dcterms:modified>
  <dc:language>en-US</dc:language>
</cp:coreProperties>
</file>